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Load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#,##0.0"/>
    <numFmt numFmtId="166" formatCode="0.0%"/>
    <numFmt numFmtId="167" formatCode="₹#,##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2C3E50"/>
      <sz val="10"/>
    </font>
    <font>
      <b val="1"/>
      <color rgb="00FFFFFF"/>
      <sz val="11"/>
    </font>
    <font>
      <color rgb="002C3E50"/>
      <sz val="10"/>
    </font>
    <font>
      <b val="1"/>
      <color rgb="000000CC"/>
      <sz val="10"/>
    </font>
    <font>
      <b val="1"/>
      <color rgb="002C3E50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8F4FD"/>
      </patternFill>
    </fill>
    <fill>
      <patternFill patternType="solid">
        <fgColor rgb="0027AE60"/>
      </patternFill>
    </fill>
  </fills>
  <borders count="3">
    <border>
      <left/>
      <right/>
      <top/>
      <bottom/>
      <diagonal/>
    </border>
    <border>
      <left style="medium">
        <color rgb="00FF6B00"/>
      </left>
      <right style="medium">
        <color rgb="00FF6B00"/>
      </right>
      <top style="medium">
        <color rgb="00FF6B00"/>
      </top>
      <bottom style="medium">
        <color rgb="00FF6B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0" fillId="4" borderId="2" pivotButton="0" quotePrefix="0" xfId="0"/>
    <xf numFmtId="4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4" fontId="4" fillId="6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3" fontId="5" fillId="3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center" vertical="center"/>
    </xf>
    <xf numFmtId="167" fontId="4" fillId="6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2" customWidth="1" min="4" max="4"/>
    <col width="18" customWidth="1" min="5" max="5"/>
    <col width="2" customWidth="1" min="6" max="6"/>
  </cols>
  <sheetData>
    <row r="1" ht="40" customHeight="1">
      <c r="A1" s="1" t="inlineStr">
        <is>
          <t>⚡ ENERGYBAE — Solar Load Calculator</t>
        </is>
      </c>
    </row>
    <row r="2" ht="15" customHeight="1">
      <c r="A2" s="2" t="inlineStr">
        <is>
          <t>Electricity Bill → Solar System Sizing Automation</t>
        </is>
      </c>
    </row>
    <row r="3" ht="22" customHeight="1"/>
    <row r="4" ht="22" customHeight="1">
      <c r="B4" s="3" t="inlineStr">
        <is>
          <t>SECTION 1 — Customer &amp; Bill Information</t>
        </is>
      </c>
      <c r="C4" s="4" t="n"/>
      <c r="D4" s="4" t="n"/>
    </row>
    <row r="5" ht="22" customHeight="1">
      <c r="B5" s="5" t="inlineStr">
        <is>
          <t>Consumer Name</t>
        </is>
      </c>
      <c r="C5" s="6" t="inlineStr"/>
      <c r="D5" s="7" t="n"/>
    </row>
    <row r="6" ht="22" customHeight="1">
      <c r="B6" s="5" t="inlineStr">
        <is>
          <t>Consumer Number</t>
        </is>
      </c>
      <c r="C6" s="6" t="inlineStr"/>
      <c r="D6" s="7" t="n"/>
    </row>
    <row r="7" ht="22" customHeight="1">
      <c r="B7" s="5" t="inlineStr">
        <is>
          <t>Meter Number</t>
        </is>
      </c>
      <c r="C7" s="6" t="inlineStr"/>
      <c r="D7" s="7" t="n"/>
    </row>
    <row r="8" ht="22" customHeight="1">
      <c r="B8" s="5" t="inlineStr">
        <is>
          <t>Billing Month</t>
        </is>
      </c>
      <c r="C8" s="6" t="inlineStr"/>
      <c r="D8" s="7" t="n"/>
    </row>
    <row r="9" ht="22" customHeight="1">
      <c r="B9" s="5" t="inlineStr">
        <is>
          <t>Billing Address</t>
        </is>
      </c>
      <c r="C9" s="6" t="inlineStr"/>
      <c r="D9" s="7" t="n"/>
    </row>
    <row r="10" ht="22" customHeight="1">
      <c r="B10" s="5" t="inlineStr">
        <is>
          <t>MSEDCL Division</t>
        </is>
      </c>
      <c r="C10" s="6" t="inlineStr"/>
      <c r="D10" s="7" t="n"/>
    </row>
    <row r="11" ht="22" customHeight="1">
      <c r="B11" s="4" t="n"/>
      <c r="C11" s="4" t="n"/>
      <c r="D11" s="4" t="n"/>
    </row>
    <row r="12" ht="22" customHeight="1">
      <c r="B12" s="3" t="inlineStr">
        <is>
          <t>SECTION 2 — Consumption &amp; Tariff Data</t>
        </is>
      </c>
      <c r="C12" s="4" t="n"/>
      <c r="D12" s="4" t="n"/>
    </row>
    <row r="13" ht="22" customHeight="1">
      <c r="B13" s="5" t="inlineStr">
        <is>
          <t>Units Consumed (kWh/month)</t>
        </is>
      </c>
      <c r="C13" s="8" t="inlineStr"/>
      <c r="D13" s="7" t="n"/>
    </row>
    <row r="14" ht="22" customHeight="1">
      <c r="B14" s="5" t="inlineStr">
        <is>
          <t>Sanctioned Load (kW)</t>
        </is>
      </c>
      <c r="C14" s="8" t="inlineStr"/>
      <c r="D14" s="7" t="n"/>
    </row>
    <row r="15" ht="22" customHeight="1">
      <c r="B15" s="5" t="inlineStr">
        <is>
          <t>Connected Load (kW)</t>
        </is>
      </c>
      <c r="C15" s="8" t="inlineStr"/>
      <c r="D15" s="7" t="n"/>
    </row>
    <row r="16" ht="22" customHeight="1">
      <c r="B16" s="5" t="inlineStr">
        <is>
          <t>Contract Demand (kVA)</t>
        </is>
      </c>
      <c r="C16" s="8" t="inlineStr"/>
      <c r="D16" s="7" t="n"/>
    </row>
    <row r="17" ht="22" customHeight="1">
      <c r="B17" s="5" t="inlineStr">
        <is>
          <t>Tariff Category</t>
        </is>
      </c>
      <c r="C17" s="6" t="inlineStr"/>
      <c r="D17" s="7" t="n"/>
    </row>
    <row r="18" ht="22" customHeight="1">
      <c r="B18" s="5" t="inlineStr">
        <is>
          <t>Per Unit Rate (₹/kWh)</t>
        </is>
      </c>
      <c r="C18" s="9" t="inlineStr"/>
      <c r="D18" s="7" t="n"/>
    </row>
    <row r="19" ht="22" customHeight="1">
      <c r="B19" s="5" t="inlineStr">
        <is>
          <t>Fixed Charges (₹/month)</t>
        </is>
      </c>
      <c r="C19" s="9" t="inlineStr"/>
      <c r="D19" s="7" t="n"/>
    </row>
    <row r="20" ht="22" customHeight="1">
      <c r="B20" s="5" t="inlineStr">
        <is>
          <t>Total Monthly Bill (₹)</t>
        </is>
      </c>
      <c r="C20" s="9" t="inlineStr"/>
      <c r="D20" s="7" t="n"/>
    </row>
    <row r="21" ht="22" customHeight="1">
      <c r="B21" s="5" t="inlineStr">
        <is>
          <t>Annual Units Consumed (kWh)</t>
        </is>
      </c>
      <c r="C21" s="10">
        <f>IF(C13&gt;0,C13*12,"")</f>
        <v/>
      </c>
      <c r="D21" s="7" t="n"/>
    </row>
    <row r="22" ht="22" customHeight="1">
      <c r="B22" s="4" t="n"/>
      <c r="C22" s="4" t="n"/>
      <c r="D22" s="4" t="n"/>
    </row>
    <row r="23" ht="22" customHeight="1">
      <c r="B23" s="3" t="inlineStr">
        <is>
          <t>SECTION 3 — Solar System Assumptions</t>
        </is>
      </c>
      <c r="C23" s="4" t="n"/>
      <c r="D23" s="4" t="n"/>
    </row>
    <row r="24" ht="22" customHeight="1">
      <c r="B24" s="5" t="inlineStr">
        <is>
          <t>Peak Sun Hours (hrs/day)</t>
        </is>
      </c>
      <c r="C24" s="11" t="n">
        <v>4.5</v>
      </c>
      <c r="D24" s="7" t="n"/>
    </row>
    <row r="25" ht="22" customHeight="1">
      <c r="B25" s="5" t="inlineStr">
        <is>
          <t>System Efficiency (%)</t>
        </is>
      </c>
      <c r="C25" s="12" t="n">
        <v>0.8</v>
      </c>
      <c r="D25" s="7" t="n"/>
    </row>
    <row r="26" ht="22" customHeight="1">
      <c r="B26" s="5" t="inlineStr">
        <is>
          <t>Solar Panel Wattage (Wp)</t>
        </is>
      </c>
      <c r="C26" s="13" t="n">
        <v>540</v>
      </c>
      <c r="D26" s="7" t="n"/>
    </row>
    <row r="27" ht="22" customHeight="1">
      <c r="B27" s="5" t="inlineStr">
        <is>
          <t>Cost per kWp (₹)</t>
        </is>
      </c>
      <c r="C27" s="14" t="n">
        <v>55000</v>
      </c>
      <c r="D27" s="7" t="n"/>
    </row>
    <row r="28" ht="22" customHeight="1">
      <c r="B28" s="5" t="inlineStr">
        <is>
          <t>Subsidy (%)</t>
        </is>
      </c>
      <c r="C28" s="12" t="n">
        <v>0.3</v>
      </c>
      <c r="D28" s="7" t="n"/>
    </row>
    <row r="29" ht="22" customHeight="1">
      <c r="B29" s="5" t="inlineStr">
        <is>
          <t>Annual Degradation Rate (%)</t>
        </is>
      </c>
      <c r="C29" s="12" t="n">
        <v>0.005</v>
      </c>
      <c r="D29" s="7" t="n"/>
    </row>
    <row r="30" ht="22" customHeight="1">
      <c r="B30" s="5" t="inlineStr">
        <is>
          <t>System Lifespan (Years)</t>
        </is>
      </c>
      <c r="C30" s="13" t="n">
        <v>25</v>
      </c>
      <c r="D30" s="7" t="n"/>
    </row>
    <row r="31" ht="22" customHeight="1">
      <c r="B31" s="4" t="n"/>
      <c r="C31" s="4" t="n"/>
      <c r="D31" s="4" t="n"/>
    </row>
    <row r="32" ht="22" customHeight="1">
      <c r="B32" s="3" t="inlineStr">
        <is>
          <t>SECTION 4 — Solar System Sizing Results</t>
        </is>
      </c>
      <c r="C32" s="4" t="n"/>
      <c r="D32" s="4" t="n"/>
    </row>
    <row r="33" ht="22" customHeight="1">
      <c r="B33" s="5" t="inlineStr">
        <is>
          <t>Daily Energy Requirement (kWh/day)</t>
        </is>
      </c>
      <c r="C33" s="10">
        <f>IF(C13&gt;0,C13/30,"")</f>
        <v/>
      </c>
      <c r="D33" s="4" t="n"/>
    </row>
    <row r="34" ht="22" customHeight="1">
      <c r="B34" s="5" t="inlineStr">
        <is>
          <t>Required Solar Capacity (kWp)</t>
        </is>
      </c>
      <c r="C34" s="10">
        <f>IF(AND(C24&gt;0,C25&gt;0,C13&gt;0),(C13/30)/(C24*C25),"")</f>
        <v/>
      </c>
      <c r="D34" s="4" t="n"/>
    </row>
    <row r="35" ht="22" customHeight="1">
      <c r="B35" s="5" t="inlineStr">
        <is>
          <t>Recommended System Size (kWp)</t>
        </is>
      </c>
      <c r="C35" s="10">
        <f>IF(C34&lt;&gt;"",CEILING(C34,0.5),"")</f>
        <v/>
      </c>
      <c r="D35" s="4" t="n"/>
    </row>
    <row r="36" ht="22" customHeight="1">
      <c r="B36" s="5" t="inlineStr">
        <is>
          <t>Number of Solar Panels Required</t>
        </is>
      </c>
      <c r="C36" s="15">
        <f>IF(AND(C35&lt;&gt;"",C26&gt;0),CEILING((C35*1000)/C26,1),"")</f>
        <v/>
      </c>
      <c r="D36" s="4" t="n"/>
    </row>
    <row r="37" ht="22" customHeight="1">
      <c r="B37" s="5" t="inlineStr">
        <is>
          <t>Rooftop Area Required (sq. ft.)</t>
        </is>
      </c>
      <c r="C37" s="15">
        <f>IF(C35&lt;&gt;"",C35*100,"")</f>
        <v/>
      </c>
      <c r="D37" s="4" t="n"/>
    </row>
    <row r="38" ht="22" customHeight="1">
      <c r="B38" s="5" t="inlineStr">
        <is>
          <t>Estimated Annual Generation (kWh)</t>
        </is>
      </c>
      <c r="C38" s="10">
        <f>IF(AND(C35&lt;&gt;"",C24&gt;0),C35*C24*365*C25,"")</f>
        <v/>
      </c>
      <c r="D38" s="4" t="n"/>
    </row>
    <row r="39" ht="22" customHeight="1">
      <c r="B39" s="4" t="n"/>
      <c r="C39" s="4" t="n"/>
      <c r="D39" s="4" t="n"/>
    </row>
    <row r="40" ht="22" customHeight="1">
      <c r="B40" s="3" t="inlineStr">
        <is>
          <t>SECTION 5 — Financial Analysis &amp; ROI</t>
        </is>
      </c>
      <c r="C40" s="4" t="n"/>
      <c r="D40" s="4" t="n"/>
    </row>
    <row r="41" ht="22" customHeight="1">
      <c r="B41" s="5" t="inlineStr">
        <is>
          <t>Gross System Cost (₹)</t>
        </is>
      </c>
      <c r="C41" s="16">
        <f>IF(C35&lt;&gt;"",C35*C27,"")</f>
        <v/>
      </c>
      <c r="D41" s="4" t="n"/>
    </row>
    <row r="42" ht="22" customHeight="1">
      <c r="B42" s="5" t="inlineStr">
        <is>
          <t>Subsidy Amount (₹)</t>
        </is>
      </c>
      <c r="C42" s="16">
        <f>IF(C41&lt;&gt;"",C41*C28,"")</f>
        <v/>
      </c>
      <c r="D42" s="4" t="n"/>
    </row>
    <row r="43" ht="22" customHeight="1">
      <c r="B43" s="5" t="inlineStr">
        <is>
          <t>Net System Cost After Subsidy (₹)</t>
        </is>
      </c>
      <c r="C43" s="16">
        <f>IF(AND(C41&lt;&gt;"",C42&lt;&gt;""),C41-C42,"")</f>
        <v/>
      </c>
      <c r="D43" s="4" t="n"/>
    </row>
    <row r="44" ht="22" customHeight="1">
      <c r="B44" s="5" t="inlineStr">
        <is>
          <t>Annual Savings (₹)</t>
        </is>
      </c>
      <c r="C44" s="16">
        <f>IF(AND(C38&lt;&gt;"",C18&gt;0),C38*C18,"")</f>
        <v/>
      </c>
      <c r="D44" s="4" t="n"/>
    </row>
    <row r="45" ht="22" customHeight="1">
      <c r="B45" s="5" t="inlineStr">
        <is>
          <t>Payback Period (Years)</t>
        </is>
      </c>
      <c r="C45" s="17">
        <f>IF(AND(C43&lt;&gt;"",C44&gt;0),C43/C44,"")</f>
        <v/>
      </c>
      <c r="D45" s="4" t="n"/>
    </row>
    <row r="46" ht="22" customHeight="1">
      <c r="B46" s="5" t="inlineStr">
        <is>
          <t>25-Year Total Savings (₹)</t>
        </is>
      </c>
      <c r="C46" s="16">
        <f>IF(AND(C44&lt;&gt;"",C43&lt;&gt;""),C44*C30-C43,"")</f>
        <v/>
      </c>
      <c r="D46" s="4" t="n"/>
    </row>
    <row r="47" ht="22" customHeight="1">
      <c r="B47" s="5" t="inlineStr">
        <is>
          <t>CO₂ Offset (Tonnes/Year)</t>
        </is>
      </c>
      <c r="C47" s="10">
        <f>IF(C38&lt;&gt;"",C38*0.82/1000,"")</f>
        <v/>
      </c>
      <c r="D47" s="4" t="n"/>
    </row>
    <row r="48" ht="22" customHeight="1">
      <c r="B48" s="4" t="n"/>
      <c r="C48" s="4" t="n"/>
      <c r="D48" s="4" t="n"/>
    </row>
    <row r="49" ht="30" customHeight="1">
      <c r="B49" s="18" t="inlineStr">
        <is>
          <t>✅ RECOMMENDATION SUMMARY</t>
        </is>
      </c>
      <c r="C49" s="4" t="n"/>
      <c r="D49" s="4" t="n"/>
    </row>
    <row r="50" ht="22" customHeight="1">
      <c r="B50" s="5" t="inlineStr">
        <is>
          <t>Customer</t>
        </is>
      </c>
      <c r="C50" s="19">
        <f>IF(B5&lt;&gt;"",B5,"—")</f>
        <v/>
      </c>
      <c r="D50" s="4" t="n"/>
    </row>
    <row r="51" ht="22" customHeight="1">
      <c r="B51" s="5" t="inlineStr">
        <is>
          <t>Billing Month</t>
        </is>
      </c>
      <c r="C51" s="19">
        <f>IF(B8&lt;&gt;"",B8,"—")</f>
        <v/>
      </c>
      <c r="D51" s="4" t="n"/>
    </row>
    <row r="52" ht="22" customHeight="1">
      <c r="B52" s="5" t="inlineStr">
        <is>
          <t>Monthly Units (kWh)</t>
        </is>
      </c>
      <c r="C52" s="19">
        <f>IF(C13&gt;0,C13,"—")</f>
        <v/>
      </c>
      <c r="D52" s="4" t="n"/>
    </row>
    <row r="53" ht="22" customHeight="1">
      <c r="B53" s="5" t="inlineStr">
        <is>
          <t>Recommended Size (kWp)</t>
        </is>
      </c>
      <c r="C53" s="19">
        <f>IF(C35&lt;&gt;"",C35,"—")</f>
        <v/>
      </c>
      <c r="D53" s="4" t="n"/>
    </row>
    <row r="54" ht="22" customHeight="1">
      <c r="B54" s="5" t="inlineStr">
        <is>
          <t>No. of Panels</t>
        </is>
      </c>
      <c r="C54" s="19">
        <f>IF(C36&lt;&gt;"",C36,"—")</f>
        <v/>
      </c>
      <c r="D54" s="4" t="n"/>
    </row>
    <row r="55" ht="22" customHeight="1">
      <c r="B55" s="5" t="inlineStr">
        <is>
          <t>Net Cost (₹)</t>
        </is>
      </c>
      <c r="C55" s="19">
        <f>IF(C43&lt;&gt;"",C43,"—")</f>
        <v/>
      </c>
      <c r="D55" s="4" t="n"/>
    </row>
    <row r="56" ht="22" customHeight="1">
      <c r="B56" s="5" t="inlineStr">
        <is>
          <t>Payback Period (Yrs)</t>
        </is>
      </c>
      <c r="C56" s="19">
        <f>IF(C45&lt;&gt;"",C45,"—")</f>
        <v/>
      </c>
      <c r="D56" s="4" t="n"/>
    </row>
    <row r="57" ht="22" customHeight="1">
      <c r="B57" s="5" t="inlineStr">
        <is>
          <t>Annual Savings (₹)</t>
        </is>
      </c>
      <c r="C57" s="19">
        <f>IF(C44&lt;&gt;"",C44,"—")</f>
        <v/>
      </c>
      <c r="D57" s="4" t="n"/>
    </row>
    <row r="58" ht="22" customHeight="1"/>
    <row r="59" ht="22" customHeight="1">
      <c r="A59" s="20" t="inlineStr">
        <is>
          <t>Generated by EnergyBae Solar Load Calculator AI | energybae.co@gmail.com</t>
        </is>
      </c>
    </row>
  </sheetData>
  <mergeCells count="9">
    <mergeCell ref="A2:F2"/>
    <mergeCell ref="B23:D23"/>
    <mergeCell ref="A1:F1"/>
    <mergeCell ref="B32:D32"/>
    <mergeCell ref="B4:D4"/>
    <mergeCell ref="B49:D49"/>
    <mergeCell ref="B40:D40"/>
    <mergeCell ref="B12:D12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2026-05-13T05:34:14Z</dcterms:created>
  <dcterms:modified xmlns:dcterms="http://purl.org/dc/terms/" xmlns:xsi="http://www.w3.org/2001/XMLSchema-instance" xsi:type="dcterms:W3CDTF">2026-05-13T05:34:14Z</dcterms:modified>
</cp:coreProperties>
</file>